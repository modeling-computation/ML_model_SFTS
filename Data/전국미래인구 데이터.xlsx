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n\Dropbox\CNN_LSTM\업로드용 코드\Data\"/>
    </mc:Choice>
  </mc:AlternateContent>
  <xr:revisionPtr revIDLastSave="0" documentId="13_ncr:1_{1CA318DB-B8CC-4BA3-A0EF-FACD7729A9AA}" xr6:coauthVersionLast="47" xr6:coauthVersionMax="47" xr10:uidLastSave="{00000000-0000-0000-0000-000000000000}"/>
  <bookViews>
    <workbookView xWindow="1440" yWindow="143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2" i="1"/>
  <c r="L4" i="1"/>
  <c r="L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2" i="1"/>
  <c r="E61" i="1"/>
  <c r="B61" i="1"/>
  <c r="N61" i="1" s="1"/>
  <c r="E60" i="1"/>
  <c r="B60" i="1"/>
  <c r="N60" i="1" s="1"/>
  <c r="E59" i="1"/>
  <c r="B59" i="1"/>
  <c r="N59" i="1" s="1"/>
  <c r="E58" i="1"/>
  <c r="B58" i="1"/>
  <c r="N58" i="1" s="1"/>
  <c r="E57" i="1"/>
  <c r="B57" i="1"/>
  <c r="N57" i="1" s="1"/>
  <c r="E56" i="1"/>
  <c r="B56" i="1"/>
  <c r="N56" i="1" s="1"/>
  <c r="E55" i="1"/>
  <c r="B55" i="1"/>
  <c r="N55" i="1" s="1"/>
  <c r="E54" i="1"/>
  <c r="B54" i="1"/>
  <c r="N54" i="1" s="1"/>
  <c r="E53" i="1"/>
  <c r="B53" i="1"/>
  <c r="N53" i="1" s="1"/>
  <c r="E52" i="1"/>
  <c r="B52" i="1"/>
  <c r="N52" i="1" s="1"/>
  <c r="E51" i="1"/>
  <c r="B51" i="1"/>
  <c r="N51" i="1" s="1"/>
  <c r="E50" i="1"/>
  <c r="B50" i="1"/>
  <c r="N50" i="1" s="1"/>
  <c r="E49" i="1"/>
  <c r="B49" i="1"/>
  <c r="N49" i="1" s="1"/>
  <c r="E48" i="1"/>
  <c r="B48" i="1"/>
  <c r="N48" i="1" s="1"/>
  <c r="E47" i="1"/>
  <c r="B47" i="1"/>
  <c r="N47" i="1" s="1"/>
  <c r="E46" i="1"/>
  <c r="B46" i="1"/>
  <c r="N46" i="1" s="1"/>
  <c r="E45" i="1"/>
  <c r="B45" i="1"/>
  <c r="N45" i="1" s="1"/>
  <c r="E44" i="1"/>
  <c r="B44" i="1"/>
  <c r="N44" i="1" s="1"/>
  <c r="E43" i="1"/>
  <c r="B43" i="1"/>
  <c r="N43" i="1" s="1"/>
  <c r="E42" i="1"/>
  <c r="B42" i="1"/>
  <c r="N42" i="1" s="1"/>
  <c r="E41" i="1"/>
  <c r="B41" i="1"/>
  <c r="N41" i="1" s="1"/>
  <c r="E40" i="1"/>
  <c r="B40" i="1"/>
  <c r="N40" i="1" s="1"/>
  <c r="E39" i="1"/>
  <c r="B39" i="1"/>
  <c r="N39" i="1" s="1"/>
  <c r="E38" i="1"/>
  <c r="B38" i="1"/>
  <c r="N38" i="1" s="1"/>
  <c r="E37" i="1"/>
  <c r="B37" i="1"/>
  <c r="N37" i="1" s="1"/>
  <c r="E36" i="1"/>
  <c r="B36" i="1"/>
  <c r="N36" i="1" s="1"/>
  <c r="E35" i="1"/>
  <c r="B35" i="1"/>
  <c r="N35" i="1" s="1"/>
  <c r="E34" i="1"/>
  <c r="B34" i="1"/>
  <c r="N34" i="1" s="1"/>
  <c r="E33" i="1"/>
  <c r="B33" i="1"/>
  <c r="N33" i="1" s="1"/>
  <c r="E32" i="1"/>
  <c r="B32" i="1"/>
  <c r="N32" i="1" s="1"/>
  <c r="E31" i="1"/>
  <c r="B31" i="1"/>
  <c r="N31" i="1" s="1"/>
  <c r="E30" i="1"/>
  <c r="B30" i="1"/>
  <c r="N30" i="1" s="1"/>
  <c r="E29" i="1"/>
  <c r="B29" i="1"/>
  <c r="N29" i="1" s="1"/>
  <c r="E28" i="1"/>
  <c r="B28" i="1"/>
  <c r="N28" i="1" s="1"/>
  <c r="E27" i="1"/>
  <c r="B27" i="1"/>
  <c r="N27" i="1" s="1"/>
  <c r="E26" i="1"/>
  <c r="B26" i="1"/>
  <c r="N26" i="1" s="1"/>
  <c r="E25" i="1"/>
  <c r="B25" i="1"/>
  <c r="N25" i="1" s="1"/>
  <c r="E24" i="1"/>
  <c r="B24" i="1"/>
  <c r="N24" i="1" s="1"/>
  <c r="E23" i="1"/>
  <c r="B23" i="1"/>
  <c r="N23" i="1" s="1"/>
  <c r="E22" i="1"/>
  <c r="B22" i="1"/>
  <c r="N22" i="1" s="1"/>
  <c r="E21" i="1"/>
  <c r="B21" i="1"/>
  <c r="N21" i="1" s="1"/>
  <c r="E20" i="1"/>
  <c r="B20" i="1"/>
  <c r="N20" i="1" s="1"/>
  <c r="E19" i="1"/>
  <c r="B19" i="1"/>
  <c r="N19" i="1" s="1"/>
  <c r="E18" i="1"/>
  <c r="B18" i="1"/>
  <c r="N18" i="1" s="1"/>
  <c r="E17" i="1"/>
  <c r="B17" i="1"/>
  <c r="N17" i="1" s="1"/>
  <c r="E16" i="1"/>
  <c r="B16" i="1"/>
  <c r="N16" i="1" s="1"/>
  <c r="E15" i="1"/>
  <c r="B15" i="1"/>
  <c r="N15" i="1" s="1"/>
  <c r="E14" i="1"/>
  <c r="B14" i="1"/>
  <c r="N14" i="1" s="1"/>
  <c r="E13" i="1"/>
  <c r="B13" i="1"/>
  <c r="N13" i="1" s="1"/>
  <c r="E12" i="1"/>
  <c r="B12" i="1"/>
  <c r="N12" i="1" s="1"/>
  <c r="E11" i="1"/>
  <c r="B11" i="1"/>
  <c r="N11" i="1" s="1"/>
  <c r="E10" i="1"/>
  <c r="B10" i="1"/>
  <c r="N10" i="1" s="1"/>
  <c r="E9" i="1"/>
  <c r="B9" i="1"/>
  <c r="N9" i="1" s="1"/>
  <c r="E8" i="1"/>
  <c r="B8" i="1"/>
  <c r="N8" i="1" s="1"/>
  <c r="E7" i="1"/>
  <c r="B7" i="1"/>
  <c r="N7" i="1" s="1"/>
  <c r="E6" i="1"/>
  <c r="B6" i="1"/>
  <c r="N6" i="1" s="1"/>
  <c r="E5" i="1"/>
  <c r="B5" i="1"/>
  <c r="N5" i="1" s="1"/>
  <c r="E4" i="1"/>
  <c r="B4" i="1"/>
  <c r="N4" i="1" s="1"/>
  <c r="E3" i="1"/>
  <c r="B3" i="1"/>
  <c r="N3" i="1" s="1"/>
  <c r="E2" i="1"/>
  <c r="B2" i="1"/>
  <c r="N2" i="1" s="1"/>
</calcChain>
</file>

<file path=xl/sharedStrings.xml><?xml version="1.0" encoding="utf-8"?>
<sst xmlns="http://schemas.openxmlformats.org/spreadsheetml/2006/main" count="14" uniqueCount="14">
  <si>
    <t>Population_40</t>
  </si>
  <si>
    <t>Population_60</t>
  </si>
  <si>
    <t>Population_70</t>
  </si>
  <si>
    <t>Population_80</t>
  </si>
  <si>
    <t>Population_60_70</t>
  </si>
  <si>
    <t>Population_70_80</t>
  </si>
  <si>
    <t>60~70세 비율(%)</t>
    <phoneticPr fontId="2" type="noConversion"/>
  </si>
  <si>
    <t>70~80세 비율(%)</t>
    <phoneticPr fontId="2" type="noConversion"/>
  </si>
  <si>
    <t>80세 이상 비율(%)</t>
    <phoneticPr fontId="2" type="noConversion"/>
  </si>
  <si>
    <t>Population_0</t>
    <phoneticPr fontId="2" type="noConversion"/>
  </si>
  <si>
    <t>Population_0_60</t>
    <phoneticPr fontId="2" type="noConversion"/>
  </si>
  <si>
    <t>year</t>
    <phoneticPr fontId="2" type="noConversion"/>
  </si>
  <si>
    <t>Population</t>
    <phoneticPr fontId="2" type="noConversion"/>
  </si>
  <si>
    <t>고령층 비율(%)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</si>
</sst>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0" xfId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</cellXfs>
  <cellStyles count="2">
    <cellStyle name="표준" xfId="0" builtinId="0"/>
    <cellStyle name="표준 2" xfId="1" xr:uid="{3DAA8A7D-FD52-41E0-B303-F2D148ABAC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topLeftCell="I1" workbookViewId="0">
      <selection activeCell="N36" sqref="N36"/>
    </sheetView>
  </sheetViews>
  <sheetFormatPr defaultRowHeight="17" x14ac:dyDescent="0.45"/>
  <cols>
    <col min="2" max="2" width="29.83203125" style="2" customWidth="1"/>
    <col min="3" max="3" width="28.5" customWidth="1"/>
    <col min="4" max="4" width="28.08203125" customWidth="1"/>
    <col min="5" max="5" width="28.08203125" style="2" customWidth="1"/>
    <col min="6" max="6" width="38.58203125" customWidth="1"/>
    <col min="7" max="7" width="14.75" customWidth="1"/>
    <col min="8" max="8" width="26.58203125" customWidth="1"/>
    <col min="9" max="9" width="25.75" customWidth="1"/>
    <col min="10" max="10" width="21.83203125" customWidth="1"/>
    <col min="11" max="11" width="23" style="7" customWidth="1"/>
    <col min="12" max="12" width="22" style="7" customWidth="1"/>
    <col min="13" max="13" width="27.08203125" style="7" customWidth="1"/>
    <col min="14" max="14" width="16.08203125" style="7" customWidth="1"/>
  </cols>
  <sheetData>
    <row r="1" spans="1:14" x14ac:dyDescent="0.45">
      <c r="A1" s="1" t="s">
        <v>11</v>
      </c>
      <c r="B1" s="3" t="s">
        <v>12</v>
      </c>
      <c r="C1" s="1" t="s">
        <v>9</v>
      </c>
      <c r="D1" s="1" t="s">
        <v>0</v>
      </c>
      <c r="E1" s="3" t="s">
        <v>10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6" t="s">
        <v>6</v>
      </c>
      <c r="L1" s="6" t="s">
        <v>7</v>
      </c>
      <c r="M1" s="6" t="s">
        <v>8</v>
      </c>
      <c r="N1" s="6" t="s">
        <v>13</v>
      </c>
    </row>
    <row r="2" spans="1:14" x14ac:dyDescent="0.45">
      <c r="A2">
        <v>2013</v>
      </c>
      <c r="B2" s="4">
        <f>SUM(C2:D2,F2)</f>
        <v>50428893</v>
      </c>
      <c r="C2" s="5">
        <v>25487419</v>
      </c>
      <c r="D2" s="5">
        <v>16475263</v>
      </c>
      <c r="E2" s="4">
        <f>SUM(C2,D2)</f>
        <v>41962682</v>
      </c>
      <c r="F2" s="5">
        <v>8466211</v>
      </c>
      <c r="G2" s="5">
        <v>4108151</v>
      </c>
      <c r="H2" s="5">
        <v>1125228</v>
      </c>
      <c r="I2" s="5">
        <v>4358060</v>
      </c>
      <c r="J2" s="5">
        <v>2982923</v>
      </c>
      <c r="K2" s="7">
        <f>I2/F2</f>
        <v>0.5147591998356762</v>
      </c>
      <c r="L2" s="7">
        <f>J2/F2</f>
        <v>0.35233270231512065</v>
      </c>
      <c r="M2" s="7">
        <f>H2/F2</f>
        <v>0.13290809784920316</v>
      </c>
      <c r="N2" s="7">
        <f>F2/B2</f>
        <v>0.1678841334074099</v>
      </c>
    </row>
    <row r="3" spans="1:14" x14ac:dyDescent="0.45">
      <c r="A3">
        <v>2014</v>
      </c>
      <c r="B3" s="4">
        <f t="shared" ref="B3:B61" si="0">SUM(C3:D3,F3)</f>
        <v>50746659</v>
      </c>
      <c r="C3" s="5">
        <v>25119797</v>
      </c>
      <c r="D3" s="5">
        <v>16808515</v>
      </c>
      <c r="E3" s="4">
        <f t="shared" ref="E3:E61" si="1">SUM(C3,D3)</f>
        <v>41928312</v>
      </c>
      <c r="F3" s="5">
        <v>8818347</v>
      </c>
      <c r="G3" s="5">
        <v>4271397</v>
      </c>
      <c r="H3" s="5">
        <v>1209247</v>
      </c>
      <c r="I3" s="5">
        <v>4546950</v>
      </c>
      <c r="J3" s="5">
        <v>3062150</v>
      </c>
      <c r="K3" s="7">
        <f t="shared" ref="K3:K61" si="2">I3/F3</f>
        <v>0.51562384651000914</v>
      </c>
      <c r="L3" s="7">
        <f t="shared" ref="L3:L61" si="3">J3/F3</f>
        <v>0.34724761908325902</v>
      </c>
      <c r="M3" s="7">
        <f t="shared" ref="M3:M61" si="4">H3/F3</f>
        <v>0.13712853440673178</v>
      </c>
      <c r="N3" s="7">
        <f t="shared" ref="N3:N61" si="5">F3/B3</f>
        <v>0.17377197186518228</v>
      </c>
    </row>
    <row r="4" spans="1:14" x14ac:dyDescent="0.45">
      <c r="A4">
        <v>2015</v>
      </c>
      <c r="B4" s="4">
        <f t="shared" si="0"/>
        <v>51014947</v>
      </c>
      <c r="C4" s="5">
        <v>24797275</v>
      </c>
      <c r="D4" s="5">
        <v>16925673</v>
      </c>
      <c r="E4" s="4">
        <f t="shared" si="1"/>
        <v>41722948</v>
      </c>
      <c r="F4" s="5">
        <v>9291999</v>
      </c>
      <c r="G4" s="5">
        <v>4435537</v>
      </c>
      <c r="H4" s="5">
        <v>1305490</v>
      </c>
      <c r="I4" s="5">
        <v>4856462</v>
      </c>
      <c r="J4" s="5">
        <v>3130047</v>
      </c>
      <c r="K4" s="7">
        <f t="shared" si="2"/>
        <v>0.52264986253227108</v>
      </c>
      <c r="L4" s="7">
        <f>J4/F4</f>
        <v>0.33685399664808402</v>
      </c>
      <c r="M4" s="7">
        <f t="shared" si="4"/>
        <v>0.14049614081964495</v>
      </c>
      <c r="N4" s="7">
        <f t="shared" si="5"/>
        <v>0.18214267673354634</v>
      </c>
    </row>
    <row r="5" spans="1:14" x14ac:dyDescent="0.45">
      <c r="A5">
        <v>2016</v>
      </c>
      <c r="B5" s="4">
        <f t="shared" si="0"/>
        <v>51217803</v>
      </c>
      <c r="C5" s="5">
        <v>24489367</v>
      </c>
      <c r="D5" s="5">
        <v>16977011</v>
      </c>
      <c r="E5" s="4">
        <f t="shared" si="1"/>
        <v>41466378</v>
      </c>
      <c r="F5" s="5">
        <v>9751425</v>
      </c>
      <c r="G5" s="5">
        <v>4547079</v>
      </c>
      <c r="H5" s="5">
        <v>1417791</v>
      </c>
      <c r="I5" s="5">
        <v>5204346</v>
      </c>
      <c r="J5" s="5">
        <v>3129288</v>
      </c>
      <c r="K5" s="7">
        <f t="shared" si="2"/>
        <v>0.53370107445834836</v>
      </c>
      <c r="L5" s="7">
        <f t="shared" si="3"/>
        <v>0.32090571378029364</v>
      </c>
      <c r="M5" s="7">
        <f t="shared" si="4"/>
        <v>0.14539321176135794</v>
      </c>
      <c r="N5" s="7">
        <f t="shared" si="5"/>
        <v>0.19039131764398406</v>
      </c>
    </row>
    <row r="6" spans="1:14" x14ac:dyDescent="0.45">
      <c r="A6">
        <v>2017</v>
      </c>
      <c r="B6" s="4">
        <f t="shared" si="0"/>
        <v>51361911</v>
      </c>
      <c r="C6" s="5">
        <v>24150398</v>
      </c>
      <c r="D6" s="5">
        <v>16975085</v>
      </c>
      <c r="E6" s="4">
        <f t="shared" si="1"/>
        <v>41125483</v>
      </c>
      <c r="F6" s="5">
        <v>10236428</v>
      </c>
      <c r="G6" s="5">
        <v>4779541</v>
      </c>
      <c r="H6" s="5">
        <v>1528426</v>
      </c>
      <c r="I6" s="5">
        <v>5456887</v>
      </c>
      <c r="J6" s="5">
        <v>3251115</v>
      </c>
      <c r="K6" s="7">
        <f t="shared" si="2"/>
        <v>0.53308507616133283</v>
      </c>
      <c r="L6" s="7">
        <f t="shared" si="3"/>
        <v>0.31760248789909917</v>
      </c>
      <c r="M6" s="7">
        <f t="shared" si="4"/>
        <v>0.14931243593956797</v>
      </c>
      <c r="N6" s="7">
        <f t="shared" si="5"/>
        <v>0.19929998321129447</v>
      </c>
    </row>
    <row r="7" spans="1:14" x14ac:dyDescent="0.45">
      <c r="A7">
        <v>2018</v>
      </c>
      <c r="B7" s="4">
        <f t="shared" si="0"/>
        <v>51585058</v>
      </c>
      <c r="C7" s="5">
        <v>23862545</v>
      </c>
      <c r="D7" s="5">
        <v>16967360</v>
      </c>
      <c r="E7" s="4">
        <f t="shared" si="1"/>
        <v>40829905</v>
      </c>
      <c r="F7" s="5">
        <v>10755153</v>
      </c>
      <c r="G7" s="5">
        <v>5009497</v>
      </c>
      <c r="H7" s="5">
        <v>1634958</v>
      </c>
      <c r="I7" s="5">
        <v>5745656</v>
      </c>
      <c r="J7" s="5">
        <v>3374539</v>
      </c>
      <c r="K7" s="7">
        <f t="shared" si="2"/>
        <v>0.5342235484702077</v>
      </c>
      <c r="L7" s="7">
        <f t="shared" si="3"/>
        <v>0.31376020406218302</v>
      </c>
      <c r="M7" s="7">
        <f t="shared" si="4"/>
        <v>0.15201624746760925</v>
      </c>
      <c r="N7" s="7">
        <f t="shared" si="5"/>
        <v>0.20849357191766654</v>
      </c>
    </row>
    <row r="8" spans="1:14" x14ac:dyDescent="0.45">
      <c r="A8">
        <v>2019</v>
      </c>
      <c r="B8" s="4">
        <f t="shared" si="0"/>
        <v>51764822</v>
      </c>
      <c r="C8" s="5">
        <v>23519115</v>
      </c>
      <c r="D8" s="5">
        <v>16928764</v>
      </c>
      <c r="E8" s="4">
        <f t="shared" si="1"/>
        <v>40447879</v>
      </c>
      <c r="F8" s="5">
        <v>11316943</v>
      </c>
      <c r="G8" s="5">
        <v>5240372</v>
      </c>
      <c r="H8" s="5">
        <v>1764631</v>
      </c>
      <c r="I8" s="5">
        <v>6076571</v>
      </c>
      <c r="J8" s="5">
        <v>3475741</v>
      </c>
      <c r="K8" s="7">
        <f t="shared" si="2"/>
        <v>0.53694456179553085</v>
      </c>
      <c r="L8" s="7">
        <f t="shared" si="3"/>
        <v>0.30712719857297149</v>
      </c>
      <c r="M8" s="7">
        <f t="shared" si="4"/>
        <v>0.15592823963149766</v>
      </c>
      <c r="N8" s="7">
        <f t="shared" si="5"/>
        <v>0.2186222720904942</v>
      </c>
    </row>
    <row r="9" spans="1:14" x14ac:dyDescent="0.45">
      <c r="A9">
        <v>2020</v>
      </c>
      <c r="B9" s="4">
        <f t="shared" si="0"/>
        <v>51836239</v>
      </c>
      <c r="C9" s="5">
        <v>23036763</v>
      </c>
      <c r="D9" s="5">
        <v>16833239</v>
      </c>
      <c r="E9" s="4">
        <f t="shared" si="1"/>
        <v>39870002</v>
      </c>
      <c r="F9" s="5">
        <v>11966237</v>
      </c>
      <c r="G9" s="5">
        <v>5489635</v>
      </c>
      <c r="H9" s="5">
        <v>1890824</v>
      </c>
      <c r="I9" s="5">
        <v>6476602</v>
      </c>
      <c r="J9" s="5">
        <v>3598811</v>
      </c>
      <c r="K9" s="7">
        <f t="shared" si="2"/>
        <v>0.54123965620938308</v>
      </c>
      <c r="L9" s="7">
        <f t="shared" si="3"/>
        <v>0.30074709367698466</v>
      </c>
      <c r="M9" s="7">
        <f t="shared" si="4"/>
        <v>0.15801325011363221</v>
      </c>
      <c r="N9" s="7">
        <f t="shared" si="5"/>
        <v>0.23084693702411552</v>
      </c>
    </row>
    <row r="10" spans="1:14" x14ac:dyDescent="0.45">
      <c r="A10">
        <v>2021</v>
      </c>
      <c r="B10" s="4">
        <f t="shared" si="0"/>
        <v>51769539</v>
      </c>
      <c r="C10" s="5">
        <v>22437233</v>
      </c>
      <c r="D10" s="5">
        <v>16697692</v>
      </c>
      <c r="E10" s="4">
        <f t="shared" si="1"/>
        <v>39134925</v>
      </c>
      <c r="F10" s="5">
        <v>12634614</v>
      </c>
      <c r="G10" s="5">
        <v>5674954</v>
      </c>
      <c r="H10" s="5">
        <v>2016985</v>
      </c>
      <c r="I10" s="5">
        <v>6959660</v>
      </c>
      <c r="J10" s="5">
        <v>3657969</v>
      </c>
      <c r="K10" s="7">
        <f t="shared" si="2"/>
        <v>0.55084073007691414</v>
      </c>
      <c r="L10" s="7">
        <f t="shared" si="3"/>
        <v>0.2895196481665368</v>
      </c>
      <c r="M10" s="7">
        <f t="shared" si="4"/>
        <v>0.15963962175654911</v>
      </c>
      <c r="N10" s="7">
        <f t="shared" si="5"/>
        <v>0.24405498376178317</v>
      </c>
    </row>
    <row r="11" spans="1:14" x14ac:dyDescent="0.45">
      <c r="A11">
        <v>2022</v>
      </c>
      <c r="B11" s="4">
        <f t="shared" si="0"/>
        <v>51672569</v>
      </c>
      <c r="C11" s="5">
        <v>21842803</v>
      </c>
      <c r="D11" s="5">
        <v>16700520</v>
      </c>
      <c r="E11" s="4">
        <f t="shared" si="1"/>
        <v>38543323</v>
      </c>
      <c r="F11" s="5">
        <v>13129246</v>
      </c>
      <c r="G11" s="5">
        <v>5917283</v>
      </c>
      <c r="H11" s="5">
        <v>2155978</v>
      </c>
      <c r="I11" s="5">
        <v>7211963</v>
      </c>
      <c r="J11" s="5">
        <v>3761305</v>
      </c>
      <c r="K11" s="7">
        <f t="shared" si="2"/>
        <v>0.54930519239261721</v>
      </c>
      <c r="L11" s="7">
        <f t="shared" si="3"/>
        <v>0.28648294045217831</v>
      </c>
      <c r="M11" s="7">
        <f t="shared" si="4"/>
        <v>0.1642118671552045</v>
      </c>
      <c r="N11" s="7">
        <f t="shared" si="5"/>
        <v>0.25408541232002613</v>
      </c>
    </row>
    <row r="12" spans="1:14" x14ac:dyDescent="0.45">
      <c r="A12">
        <v>2023</v>
      </c>
      <c r="B12" s="4">
        <f t="shared" si="0"/>
        <v>51712619</v>
      </c>
      <c r="C12" s="5">
        <v>21429076</v>
      </c>
      <c r="D12" s="5">
        <v>16589522</v>
      </c>
      <c r="E12" s="4">
        <f t="shared" si="1"/>
        <v>38018598</v>
      </c>
      <c r="F12" s="5">
        <v>13694021</v>
      </c>
      <c r="G12" s="5">
        <v>6161633</v>
      </c>
      <c r="H12" s="5">
        <v>2289858</v>
      </c>
      <c r="I12" s="5">
        <v>7532388</v>
      </c>
      <c r="J12" s="5">
        <v>3871775</v>
      </c>
      <c r="K12" s="7">
        <f t="shared" si="2"/>
        <v>0.55004939747061876</v>
      </c>
      <c r="L12" s="7">
        <f t="shared" si="3"/>
        <v>0.28273470589828947</v>
      </c>
      <c r="M12" s="7">
        <f t="shared" si="4"/>
        <v>0.16721589663109176</v>
      </c>
      <c r="N12" s="7">
        <f t="shared" si="5"/>
        <v>0.26481004568730121</v>
      </c>
    </row>
    <row r="13" spans="1:14" x14ac:dyDescent="0.45">
      <c r="A13">
        <v>2024</v>
      </c>
      <c r="B13" s="4">
        <f t="shared" si="0"/>
        <v>51751065</v>
      </c>
      <c r="C13" s="5">
        <v>21043543</v>
      </c>
      <c r="D13" s="5">
        <v>16558196</v>
      </c>
      <c r="E13" s="4">
        <f t="shared" si="1"/>
        <v>37601739</v>
      </c>
      <c r="F13" s="5">
        <v>14149326</v>
      </c>
      <c r="G13" s="5">
        <v>6428985</v>
      </c>
      <c r="H13" s="5">
        <v>2382540</v>
      </c>
      <c r="I13" s="5">
        <v>7720341</v>
      </c>
      <c r="J13" s="5">
        <v>4046445</v>
      </c>
      <c r="K13" s="7">
        <f t="shared" si="2"/>
        <v>0.54563312768396177</v>
      </c>
      <c r="L13" s="7">
        <f t="shared" si="3"/>
        <v>0.2859814665376994</v>
      </c>
      <c r="M13" s="7">
        <f t="shared" si="4"/>
        <v>0.16838540577833885</v>
      </c>
      <c r="N13" s="7">
        <f t="shared" si="5"/>
        <v>0.27341130081091086</v>
      </c>
    </row>
    <row r="14" spans="1:14" x14ac:dyDescent="0.45">
      <c r="A14">
        <v>2025</v>
      </c>
      <c r="B14" s="4">
        <f t="shared" si="0"/>
        <v>51684564</v>
      </c>
      <c r="C14" s="5">
        <v>20637805</v>
      </c>
      <c r="D14" s="5">
        <v>16377386</v>
      </c>
      <c r="E14" s="4">
        <f t="shared" si="1"/>
        <v>37015191</v>
      </c>
      <c r="F14" s="5">
        <v>14669373</v>
      </c>
      <c r="G14" s="5">
        <v>6825302</v>
      </c>
      <c r="H14" s="5">
        <v>2477683</v>
      </c>
      <c r="I14" s="5">
        <v>7844071</v>
      </c>
      <c r="J14" s="5">
        <v>4347619</v>
      </c>
      <c r="K14" s="7">
        <f t="shared" si="2"/>
        <v>0.53472435393114626</v>
      </c>
      <c r="L14" s="7">
        <f t="shared" si="3"/>
        <v>0.29637388046510238</v>
      </c>
      <c r="M14" s="7">
        <f t="shared" si="4"/>
        <v>0.16890176560375145</v>
      </c>
      <c r="N14" s="7">
        <f t="shared" si="5"/>
        <v>0.28382503139622112</v>
      </c>
    </row>
    <row r="15" spans="1:14" x14ac:dyDescent="0.45">
      <c r="A15">
        <v>2026</v>
      </c>
      <c r="B15" s="4">
        <f t="shared" si="0"/>
        <v>51609121</v>
      </c>
      <c r="C15" s="5">
        <v>20230681</v>
      </c>
      <c r="D15" s="5">
        <v>16210786</v>
      </c>
      <c r="E15" s="4">
        <f t="shared" si="1"/>
        <v>36441467</v>
      </c>
      <c r="F15" s="5">
        <v>15167654</v>
      </c>
      <c r="G15" s="5">
        <v>7187553</v>
      </c>
      <c r="H15" s="5">
        <v>2522199</v>
      </c>
      <c r="I15" s="5">
        <v>7980101</v>
      </c>
      <c r="J15" s="5">
        <v>4665354</v>
      </c>
      <c r="K15" s="7">
        <f t="shared" si="2"/>
        <v>0.52612625525344925</v>
      </c>
      <c r="L15" s="7">
        <f t="shared" si="3"/>
        <v>0.30758573474843243</v>
      </c>
      <c r="M15" s="7">
        <f t="shared" si="4"/>
        <v>0.16628800999811835</v>
      </c>
      <c r="N15" s="7">
        <f t="shared" si="5"/>
        <v>0.29389483304704994</v>
      </c>
    </row>
    <row r="16" spans="1:14" x14ac:dyDescent="0.45">
      <c r="A16">
        <v>2027</v>
      </c>
      <c r="B16" s="4">
        <f t="shared" si="0"/>
        <v>51534551</v>
      </c>
      <c r="C16" s="5">
        <v>19852460</v>
      </c>
      <c r="D16" s="5">
        <v>16039194</v>
      </c>
      <c r="E16" s="4">
        <f t="shared" si="1"/>
        <v>35891654</v>
      </c>
      <c r="F16" s="5">
        <v>15642897</v>
      </c>
      <c r="G16" s="5">
        <v>7574606</v>
      </c>
      <c r="H16" s="5">
        <v>2667343</v>
      </c>
      <c r="I16" s="5">
        <v>8068291</v>
      </c>
      <c r="J16" s="5">
        <v>4907263</v>
      </c>
      <c r="K16" s="7">
        <f t="shared" si="2"/>
        <v>0.51577984563856683</v>
      </c>
      <c r="L16" s="7">
        <f t="shared" si="3"/>
        <v>0.31370551119782991</v>
      </c>
      <c r="M16" s="7">
        <f t="shared" si="4"/>
        <v>0.17051464316360326</v>
      </c>
      <c r="N16" s="7">
        <f t="shared" si="5"/>
        <v>0.30354192859854351</v>
      </c>
    </row>
    <row r="17" spans="1:14" x14ac:dyDescent="0.45">
      <c r="A17">
        <v>2028</v>
      </c>
      <c r="B17" s="4">
        <f t="shared" si="0"/>
        <v>51459877</v>
      </c>
      <c r="C17" s="5">
        <v>19494609</v>
      </c>
      <c r="D17" s="5">
        <v>15834313</v>
      </c>
      <c r="E17" s="4">
        <f t="shared" si="1"/>
        <v>35328922</v>
      </c>
      <c r="F17" s="5">
        <v>16130955</v>
      </c>
      <c r="G17" s="5">
        <v>7991794</v>
      </c>
      <c r="H17" s="5">
        <v>2807907</v>
      </c>
      <c r="I17" s="5">
        <v>8139161</v>
      </c>
      <c r="J17" s="5">
        <v>5183887</v>
      </c>
      <c r="K17" s="7">
        <f t="shared" si="2"/>
        <v>0.50456783246869141</v>
      </c>
      <c r="L17" s="7">
        <f t="shared" si="3"/>
        <v>0.32136268435439813</v>
      </c>
      <c r="M17" s="7">
        <f t="shared" si="4"/>
        <v>0.17406948317691048</v>
      </c>
      <c r="N17" s="7">
        <f t="shared" si="5"/>
        <v>0.31346664509128153</v>
      </c>
    </row>
    <row r="18" spans="1:14" x14ac:dyDescent="0.45">
      <c r="A18">
        <v>2029</v>
      </c>
      <c r="B18" s="4">
        <f t="shared" si="0"/>
        <v>51384052</v>
      </c>
      <c r="C18" s="5">
        <v>19129977</v>
      </c>
      <c r="D18" s="5">
        <v>15556744</v>
      </c>
      <c r="E18" s="4">
        <f t="shared" si="1"/>
        <v>34686721</v>
      </c>
      <c r="F18" s="5">
        <v>16697331</v>
      </c>
      <c r="G18" s="5">
        <v>8433421</v>
      </c>
      <c r="H18" s="5">
        <v>2936935</v>
      </c>
      <c r="I18" s="5">
        <v>8263910</v>
      </c>
      <c r="J18" s="5">
        <v>5496486</v>
      </c>
      <c r="K18" s="7">
        <f t="shared" si="2"/>
        <v>0.4949240091125941</v>
      </c>
      <c r="L18" s="7">
        <f t="shared" si="3"/>
        <v>0.32918350843017963</v>
      </c>
      <c r="M18" s="7">
        <f t="shared" si="4"/>
        <v>0.17589248245722625</v>
      </c>
      <c r="N18" s="7">
        <f t="shared" si="5"/>
        <v>0.32495162117615795</v>
      </c>
    </row>
    <row r="19" spans="1:14" x14ac:dyDescent="0.45">
      <c r="A19">
        <v>2030</v>
      </c>
      <c r="B19" s="4">
        <f t="shared" si="0"/>
        <v>51305713</v>
      </c>
      <c r="C19" s="5">
        <v>18757172</v>
      </c>
      <c r="D19" s="5">
        <v>15343377</v>
      </c>
      <c r="E19" s="4">
        <f t="shared" si="1"/>
        <v>34100549</v>
      </c>
      <c r="F19" s="5">
        <v>17205164</v>
      </c>
      <c r="G19" s="5">
        <v>8943049</v>
      </c>
      <c r="H19" s="5">
        <v>3073495</v>
      </c>
      <c r="I19" s="5">
        <v>8262115</v>
      </c>
      <c r="J19" s="5">
        <v>5869554</v>
      </c>
      <c r="K19" s="7">
        <f t="shared" si="2"/>
        <v>0.48021134817430394</v>
      </c>
      <c r="L19" s="7">
        <f t="shared" si="3"/>
        <v>0.34115071498301325</v>
      </c>
      <c r="M19" s="7">
        <f t="shared" si="4"/>
        <v>0.17863793684268281</v>
      </c>
      <c r="N19" s="7">
        <f t="shared" si="5"/>
        <v>0.3353459681965632</v>
      </c>
    </row>
    <row r="20" spans="1:14" x14ac:dyDescent="0.45">
      <c r="A20">
        <v>2031</v>
      </c>
      <c r="B20" s="4">
        <f t="shared" si="0"/>
        <v>51223269</v>
      </c>
      <c r="C20" s="5">
        <v>18381780</v>
      </c>
      <c r="D20" s="5">
        <v>15105621</v>
      </c>
      <c r="E20" s="4">
        <f t="shared" si="1"/>
        <v>33487401</v>
      </c>
      <c r="F20" s="5">
        <v>17735868</v>
      </c>
      <c r="G20" s="5">
        <v>9486761</v>
      </c>
      <c r="H20" s="5">
        <v>3161051</v>
      </c>
      <c r="I20" s="5">
        <v>8249107</v>
      </c>
      <c r="J20" s="5">
        <v>6325710</v>
      </c>
      <c r="K20" s="7">
        <f t="shared" si="2"/>
        <v>0.46510872769238021</v>
      </c>
      <c r="L20" s="7">
        <f t="shared" si="3"/>
        <v>0.35666199139506449</v>
      </c>
      <c r="M20" s="7">
        <f t="shared" si="4"/>
        <v>0.17822928091255527</v>
      </c>
      <c r="N20" s="7">
        <f t="shared" si="5"/>
        <v>0.34624631239368969</v>
      </c>
    </row>
    <row r="21" spans="1:14" x14ac:dyDescent="0.45">
      <c r="A21">
        <v>2032</v>
      </c>
      <c r="B21" s="4">
        <f t="shared" si="0"/>
        <v>51135265</v>
      </c>
      <c r="C21" s="5">
        <v>17953334</v>
      </c>
      <c r="D21" s="5">
        <v>14963111</v>
      </c>
      <c r="E21" s="4">
        <f t="shared" si="1"/>
        <v>32916445</v>
      </c>
      <c r="F21" s="5">
        <v>18218820</v>
      </c>
      <c r="G21" s="5">
        <v>9895515</v>
      </c>
      <c r="H21" s="5">
        <v>3325288</v>
      </c>
      <c r="I21" s="5">
        <v>8323305</v>
      </c>
      <c r="J21" s="5">
        <v>6570227</v>
      </c>
      <c r="K21" s="7">
        <f t="shared" si="2"/>
        <v>0.45685203542271124</v>
      </c>
      <c r="L21" s="7">
        <f t="shared" si="3"/>
        <v>0.36062856979760488</v>
      </c>
      <c r="M21" s="7">
        <f t="shared" si="4"/>
        <v>0.18251939477968387</v>
      </c>
      <c r="N21" s="7">
        <f t="shared" si="5"/>
        <v>0.35628680129065526</v>
      </c>
    </row>
    <row r="22" spans="1:14" x14ac:dyDescent="0.45">
      <c r="A22">
        <v>2033</v>
      </c>
      <c r="B22" s="4">
        <f t="shared" si="0"/>
        <v>51040632</v>
      </c>
      <c r="C22" s="5">
        <v>17522344</v>
      </c>
      <c r="D22" s="5">
        <v>14831755</v>
      </c>
      <c r="E22" s="4">
        <f t="shared" si="1"/>
        <v>32354099</v>
      </c>
      <c r="F22" s="5">
        <v>18686533</v>
      </c>
      <c r="G22" s="5">
        <v>10358261</v>
      </c>
      <c r="H22" s="5">
        <v>3482404</v>
      </c>
      <c r="I22" s="5">
        <v>8328272</v>
      </c>
      <c r="J22" s="5">
        <v>6875857</v>
      </c>
      <c r="K22" s="7">
        <f t="shared" si="2"/>
        <v>0.44568310237110331</v>
      </c>
      <c r="L22" s="7">
        <f t="shared" si="3"/>
        <v>0.36795787640221972</v>
      </c>
      <c r="M22" s="7">
        <f t="shared" si="4"/>
        <v>0.186359021226677</v>
      </c>
      <c r="N22" s="7">
        <f t="shared" si="5"/>
        <v>0.36611092511550408</v>
      </c>
    </row>
    <row r="23" spans="1:14" x14ac:dyDescent="0.45">
      <c r="A23">
        <v>2034</v>
      </c>
      <c r="B23" s="4">
        <f t="shared" si="0"/>
        <v>50937726</v>
      </c>
      <c r="C23" s="5">
        <v>17106689</v>
      </c>
      <c r="D23" s="5">
        <v>14705754</v>
      </c>
      <c r="E23" s="4">
        <f t="shared" si="1"/>
        <v>31812443</v>
      </c>
      <c r="F23" s="5">
        <v>19125283</v>
      </c>
      <c r="G23" s="5">
        <v>10691917</v>
      </c>
      <c r="H23" s="5">
        <v>3642320</v>
      </c>
      <c r="I23" s="5">
        <v>8433366</v>
      </c>
      <c r="J23" s="5">
        <v>7049597</v>
      </c>
      <c r="K23" s="7">
        <f t="shared" si="2"/>
        <v>0.4409537887622369</v>
      </c>
      <c r="L23" s="7">
        <f t="shared" si="3"/>
        <v>0.36860092475494349</v>
      </c>
      <c r="M23" s="7">
        <f t="shared" si="4"/>
        <v>0.19044528648281964</v>
      </c>
      <c r="N23" s="7">
        <f t="shared" si="5"/>
        <v>0.37546401266519042</v>
      </c>
    </row>
    <row r="24" spans="1:14" x14ac:dyDescent="0.45">
      <c r="A24">
        <v>2035</v>
      </c>
      <c r="B24" s="4">
        <f t="shared" si="0"/>
        <v>50824868</v>
      </c>
      <c r="C24" s="5">
        <v>16701306</v>
      </c>
      <c r="D24" s="5">
        <v>14639930</v>
      </c>
      <c r="E24" s="4">
        <f t="shared" si="1"/>
        <v>31341236</v>
      </c>
      <c r="F24" s="5">
        <v>19483632</v>
      </c>
      <c r="G24" s="5">
        <v>11085537</v>
      </c>
      <c r="H24" s="5">
        <v>3907917</v>
      </c>
      <c r="I24" s="5">
        <v>8398095</v>
      </c>
      <c r="J24" s="5">
        <v>7177620</v>
      </c>
      <c r="K24" s="7">
        <f t="shared" si="2"/>
        <v>0.43103334121687376</v>
      </c>
      <c r="L24" s="7">
        <f t="shared" si="3"/>
        <v>0.36839229975191484</v>
      </c>
      <c r="M24" s="7">
        <f t="shared" si="4"/>
        <v>0.20057435903121143</v>
      </c>
      <c r="N24" s="7">
        <f t="shared" si="5"/>
        <v>0.38334840338394977</v>
      </c>
    </row>
    <row r="25" spans="1:14" x14ac:dyDescent="0.45">
      <c r="A25">
        <v>2036</v>
      </c>
      <c r="B25" s="4">
        <f t="shared" si="0"/>
        <v>50701389</v>
      </c>
      <c r="C25" s="5">
        <v>16295665</v>
      </c>
      <c r="D25" s="5">
        <v>14614897</v>
      </c>
      <c r="E25" s="4">
        <f t="shared" si="1"/>
        <v>30910562</v>
      </c>
      <c r="F25" s="5">
        <v>19790827</v>
      </c>
      <c r="G25" s="5">
        <v>11456901</v>
      </c>
      <c r="H25" s="5">
        <v>4143340</v>
      </c>
      <c r="I25" s="5">
        <v>8333926</v>
      </c>
      <c r="J25" s="5">
        <v>7313561</v>
      </c>
      <c r="K25" s="7">
        <f t="shared" si="2"/>
        <v>0.42110044213917891</v>
      </c>
      <c r="L25" s="7">
        <f t="shared" si="3"/>
        <v>0.36954297058935437</v>
      </c>
      <c r="M25" s="7">
        <f t="shared" si="4"/>
        <v>0.20935658727146672</v>
      </c>
      <c r="N25" s="7">
        <f t="shared" si="5"/>
        <v>0.39034092340152654</v>
      </c>
    </row>
    <row r="26" spans="1:14" x14ac:dyDescent="0.45">
      <c r="A26">
        <v>2037</v>
      </c>
      <c r="B26" s="4">
        <f t="shared" si="0"/>
        <v>50567057</v>
      </c>
      <c r="C26" s="5">
        <v>15911886</v>
      </c>
      <c r="D26" s="5">
        <v>14585879</v>
      </c>
      <c r="E26" s="4">
        <f t="shared" si="1"/>
        <v>30497765</v>
      </c>
      <c r="F26" s="5">
        <v>20069292</v>
      </c>
      <c r="G26" s="5">
        <v>11804835</v>
      </c>
      <c r="H26" s="5">
        <v>4398893</v>
      </c>
      <c r="I26" s="5">
        <v>8264457</v>
      </c>
      <c r="J26" s="5">
        <v>7405942</v>
      </c>
      <c r="K26" s="7">
        <f t="shared" si="2"/>
        <v>0.41179614108958101</v>
      </c>
      <c r="L26" s="7">
        <f t="shared" si="3"/>
        <v>0.36901859816479826</v>
      </c>
      <c r="M26" s="7">
        <f t="shared" si="4"/>
        <v>0.21918526074562072</v>
      </c>
      <c r="N26" s="7">
        <f t="shared" si="5"/>
        <v>0.39688471488463328</v>
      </c>
    </row>
    <row r="27" spans="1:14" x14ac:dyDescent="0.45">
      <c r="A27">
        <v>2038</v>
      </c>
      <c r="B27" s="4">
        <f t="shared" si="0"/>
        <v>50417167</v>
      </c>
      <c r="C27" s="5">
        <v>15539099</v>
      </c>
      <c r="D27" s="5">
        <v>14532901</v>
      </c>
      <c r="E27" s="4">
        <f t="shared" si="1"/>
        <v>30072000</v>
      </c>
      <c r="F27" s="5">
        <v>20345167</v>
      </c>
      <c r="G27" s="5">
        <v>12163209</v>
      </c>
      <c r="H27" s="5">
        <v>4678492</v>
      </c>
      <c r="I27" s="5">
        <v>8181958</v>
      </c>
      <c r="J27" s="5">
        <v>7484717</v>
      </c>
      <c r="K27" s="7">
        <f t="shared" si="2"/>
        <v>0.40215732807698262</v>
      </c>
      <c r="L27" s="7">
        <f t="shared" si="3"/>
        <v>0.36788673201846905</v>
      </c>
      <c r="M27" s="7">
        <f t="shared" si="4"/>
        <v>0.22995593990454835</v>
      </c>
      <c r="N27" s="7">
        <f t="shared" si="5"/>
        <v>0.40353649779647477</v>
      </c>
    </row>
    <row r="28" spans="1:14" x14ac:dyDescent="0.45">
      <c r="A28">
        <v>2039</v>
      </c>
      <c r="B28" s="4">
        <f t="shared" si="0"/>
        <v>50247657</v>
      </c>
      <c r="C28" s="5">
        <v>15192877</v>
      </c>
      <c r="D28" s="5">
        <v>14436359</v>
      </c>
      <c r="E28" s="4">
        <f t="shared" si="1"/>
        <v>29629236</v>
      </c>
      <c r="F28" s="5">
        <v>20618421</v>
      </c>
      <c r="G28" s="5">
        <v>12594083</v>
      </c>
      <c r="H28" s="5">
        <v>4976979</v>
      </c>
      <c r="I28" s="5">
        <v>8024338</v>
      </c>
      <c r="J28" s="5">
        <v>7617104</v>
      </c>
      <c r="K28" s="7">
        <f t="shared" si="2"/>
        <v>0.38918295440761441</v>
      </c>
      <c r="L28" s="7">
        <f t="shared" si="3"/>
        <v>0.36943197541654621</v>
      </c>
      <c r="M28" s="7">
        <f t="shared" si="4"/>
        <v>0.24138507017583935</v>
      </c>
      <c r="N28" s="7">
        <f t="shared" si="5"/>
        <v>0.41033596850097909</v>
      </c>
    </row>
    <row r="29" spans="1:14" x14ac:dyDescent="0.45">
      <c r="A29">
        <v>2040</v>
      </c>
      <c r="B29" s="4">
        <f t="shared" si="0"/>
        <v>50059218</v>
      </c>
      <c r="C29" s="5">
        <v>14832601</v>
      </c>
      <c r="D29" s="5">
        <v>14278559</v>
      </c>
      <c r="E29" s="4">
        <f t="shared" si="1"/>
        <v>29111160</v>
      </c>
      <c r="F29" s="5">
        <v>20948058</v>
      </c>
      <c r="G29" s="5">
        <v>12966023</v>
      </c>
      <c r="H29" s="5">
        <v>5331351</v>
      </c>
      <c r="I29" s="5">
        <v>7982035</v>
      </c>
      <c r="J29" s="5">
        <v>7634672</v>
      </c>
      <c r="K29" s="7">
        <f t="shared" si="2"/>
        <v>0.38103937844739594</v>
      </c>
      <c r="L29" s="7">
        <f t="shared" si="3"/>
        <v>0.3644572685448933</v>
      </c>
      <c r="M29" s="7">
        <f t="shared" si="4"/>
        <v>0.25450335300771076</v>
      </c>
      <c r="N29" s="7">
        <f t="shared" si="5"/>
        <v>0.41846554614576681</v>
      </c>
    </row>
    <row r="30" spans="1:14" x14ac:dyDescent="0.45">
      <c r="A30">
        <v>2041</v>
      </c>
      <c r="B30" s="4">
        <f t="shared" si="0"/>
        <v>49851637</v>
      </c>
      <c r="C30" s="5">
        <v>14492419</v>
      </c>
      <c r="D30" s="5">
        <v>14093537</v>
      </c>
      <c r="E30" s="4">
        <f t="shared" si="1"/>
        <v>28585956</v>
      </c>
      <c r="F30" s="5">
        <v>21265681</v>
      </c>
      <c r="G30" s="5">
        <v>13355798</v>
      </c>
      <c r="H30" s="5">
        <v>5710019</v>
      </c>
      <c r="I30" s="5">
        <v>7909883</v>
      </c>
      <c r="J30" s="5">
        <v>7645779</v>
      </c>
      <c r="K30" s="7">
        <f t="shared" si="2"/>
        <v>0.37195531147109751</v>
      </c>
      <c r="L30" s="7">
        <f t="shared" si="3"/>
        <v>0.35953605247816894</v>
      </c>
      <c r="M30" s="7">
        <f t="shared" si="4"/>
        <v>0.26850863605073355</v>
      </c>
      <c r="N30" s="7">
        <f t="shared" si="5"/>
        <v>0.42657939196660682</v>
      </c>
    </row>
    <row r="31" spans="1:14" x14ac:dyDescent="0.45">
      <c r="A31">
        <v>2042</v>
      </c>
      <c r="B31" s="4">
        <f t="shared" si="0"/>
        <v>49625415</v>
      </c>
      <c r="C31" s="5">
        <v>14231726</v>
      </c>
      <c r="D31" s="5">
        <v>13823345</v>
      </c>
      <c r="E31" s="4">
        <f t="shared" si="1"/>
        <v>28055071</v>
      </c>
      <c r="F31" s="5">
        <v>21570344</v>
      </c>
      <c r="G31" s="5">
        <v>13695217</v>
      </c>
      <c r="H31" s="5">
        <v>5964917</v>
      </c>
      <c r="I31" s="5">
        <v>7875127</v>
      </c>
      <c r="J31" s="5">
        <v>7730300</v>
      </c>
      <c r="K31" s="7">
        <f t="shared" si="2"/>
        <v>0.36509046865455647</v>
      </c>
      <c r="L31" s="7">
        <f t="shared" si="3"/>
        <v>0.35837629664135168</v>
      </c>
      <c r="M31" s="7">
        <f t="shared" si="4"/>
        <v>0.27653323470409186</v>
      </c>
      <c r="N31" s="7">
        <f t="shared" si="5"/>
        <v>0.43466324664488953</v>
      </c>
    </row>
    <row r="32" spans="1:14" x14ac:dyDescent="0.45">
      <c r="A32">
        <v>2043</v>
      </c>
      <c r="B32" s="4">
        <f t="shared" si="0"/>
        <v>49380766</v>
      </c>
      <c r="C32" s="5">
        <v>13998832</v>
      </c>
      <c r="D32" s="5">
        <v>13576297</v>
      </c>
      <c r="E32" s="4">
        <f t="shared" si="1"/>
        <v>27575129</v>
      </c>
      <c r="F32" s="5">
        <v>21805637</v>
      </c>
      <c r="G32" s="5">
        <v>14015432</v>
      </c>
      <c r="H32" s="5">
        <v>6261283</v>
      </c>
      <c r="I32" s="5">
        <v>7790205</v>
      </c>
      <c r="J32" s="5">
        <v>7754149</v>
      </c>
      <c r="K32" s="7">
        <f t="shared" si="2"/>
        <v>0.35725647455288739</v>
      </c>
      <c r="L32" s="7">
        <f t="shared" si="3"/>
        <v>0.35560295716194856</v>
      </c>
      <c r="M32" s="7">
        <f t="shared" si="4"/>
        <v>0.28714056828516404</v>
      </c>
      <c r="N32" s="7">
        <f t="shared" si="5"/>
        <v>0.44158158664448421</v>
      </c>
    </row>
    <row r="33" spans="1:14" x14ac:dyDescent="0.45">
      <c r="A33">
        <v>2044</v>
      </c>
      <c r="B33" s="4">
        <f t="shared" si="0"/>
        <v>49117432</v>
      </c>
      <c r="C33" s="5">
        <v>13765202</v>
      </c>
      <c r="D33" s="5">
        <v>13395163</v>
      </c>
      <c r="E33" s="4">
        <f t="shared" si="1"/>
        <v>27160365</v>
      </c>
      <c r="F33" s="5">
        <v>21957067</v>
      </c>
      <c r="G33" s="5">
        <v>14303201</v>
      </c>
      <c r="H33" s="5">
        <v>6439563</v>
      </c>
      <c r="I33" s="5">
        <v>7653866</v>
      </c>
      <c r="J33" s="5">
        <v>7863638</v>
      </c>
      <c r="K33" s="7">
        <f t="shared" si="2"/>
        <v>0.34858326023234343</v>
      </c>
      <c r="L33" s="7">
        <f t="shared" si="3"/>
        <v>0.35813699525533171</v>
      </c>
      <c r="M33" s="7">
        <f t="shared" si="4"/>
        <v>0.29327974451232491</v>
      </c>
      <c r="N33" s="7">
        <f t="shared" si="5"/>
        <v>0.44703206389128813</v>
      </c>
    </row>
    <row r="34" spans="1:14" x14ac:dyDescent="0.45">
      <c r="A34">
        <v>2045</v>
      </c>
      <c r="B34" s="4">
        <f t="shared" si="0"/>
        <v>48835031</v>
      </c>
      <c r="C34" s="5">
        <v>13566079</v>
      </c>
      <c r="D34" s="5">
        <v>13228567</v>
      </c>
      <c r="E34" s="4">
        <f t="shared" si="1"/>
        <v>26794646</v>
      </c>
      <c r="F34" s="5">
        <v>22040385</v>
      </c>
      <c r="G34" s="5">
        <v>14509094</v>
      </c>
      <c r="H34" s="5">
        <v>6666413</v>
      </c>
      <c r="I34" s="5">
        <v>7531291</v>
      </c>
      <c r="J34" s="5">
        <v>7842681</v>
      </c>
      <c r="K34" s="7">
        <f t="shared" si="2"/>
        <v>0.34170414899739726</v>
      </c>
      <c r="L34" s="7">
        <f t="shared" si="3"/>
        <v>0.35583230510719299</v>
      </c>
      <c r="M34" s="7">
        <f t="shared" si="4"/>
        <v>0.30246354589540975</v>
      </c>
      <c r="N34" s="7">
        <f t="shared" si="5"/>
        <v>0.45132325195001927</v>
      </c>
    </row>
    <row r="35" spans="1:14" x14ac:dyDescent="0.45">
      <c r="A35">
        <v>2046</v>
      </c>
      <c r="B35" s="4">
        <f t="shared" si="0"/>
        <v>48532231</v>
      </c>
      <c r="C35" s="5">
        <v>13375517</v>
      </c>
      <c r="D35" s="5">
        <v>13047357</v>
      </c>
      <c r="E35" s="4">
        <f t="shared" si="1"/>
        <v>26422874</v>
      </c>
      <c r="F35" s="5">
        <v>22109357</v>
      </c>
      <c r="G35" s="5">
        <v>14660729</v>
      </c>
      <c r="H35" s="5">
        <v>6868319</v>
      </c>
      <c r="I35" s="5">
        <v>7448628</v>
      </c>
      <c r="J35" s="5">
        <v>7792410</v>
      </c>
      <c r="K35" s="7">
        <f t="shared" si="2"/>
        <v>0.33689934989968273</v>
      </c>
      <c r="L35" s="7">
        <f t="shared" si="3"/>
        <v>0.3524485130888248</v>
      </c>
      <c r="M35" s="7">
        <f t="shared" si="4"/>
        <v>0.31065213701149247</v>
      </c>
      <c r="N35" s="7">
        <f t="shared" si="5"/>
        <v>0.45556028528752368</v>
      </c>
    </row>
    <row r="36" spans="1:14" x14ac:dyDescent="0.45">
      <c r="A36">
        <v>2047</v>
      </c>
      <c r="B36" s="4">
        <f t="shared" si="0"/>
        <v>48208374</v>
      </c>
      <c r="C36" s="5">
        <v>13161688</v>
      </c>
      <c r="D36" s="5">
        <v>12901874</v>
      </c>
      <c r="E36" s="4">
        <f t="shared" si="1"/>
        <v>26063562</v>
      </c>
      <c r="F36" s="5">
        <v>22144812</v>
      </c>
      <c r="G36" s="5">
        <v>14780105</v>
      </c>
      <c r="H36" s="5">
        <v>7045122</v>
      </c>
      <c r="I36" s="5">
        <v>7364707</v>
      </c>
      <c r="J36" s="5">
        <v>7734983</v>
      </c>
      <c r="K36" s="7">
        <f t="shared" si="2"/>
        <v>0.33257031037337326</v>
      </c>
      <c r="L36" s="7">
        <f t="shared" si="3"/>
        <v>0.34929097614375776</v>
      </c>
      <c r="M36" s="7">
        <f t="shared" si="4"/>
        <v>0.31813871348286904</v>
      </c>
      <c r="N36" s="7">
        <f t="shared" si="5"/>
        <v>0.45935612763044031</v>
      </c>
    </row>
    <row r="37" spans="1:14" x14ac:dyDescent="0.45">
      <c r="A37">
        <v>2048</v>
      </c>
      <c r="B37" s="4">
        <f t="shared" si="0"/>
        <v>47863071</v>
      </c>
      <c r="C37" s="5">
        <v>12914692</v>
      </c>
      <c r="D37" s="5">
        <v>12793903</v>
      </c>
      <c r="E37" s="4">
        <f t="shared" si="1"/>
        <v>25708595</v>
      </c>
      <c r="F37" s="5">
        <v>22154476</v>
      </c>
      <c r="G37" s="5">
        <v>14893736</v>
      </c>
      <c r="H37" s="5">
        <v>7227939</v>
      </c>
      <c r="I37" s="5">
        <v>7260740</v>
      </c>
      <c r="J37" s="5">
        <v>7665797</v>
      </c>
      <c r="K37" s="7">
        <f t="shared" si="2"/>
        <v>0.32773241849637968</v>
      </c>
      <c r="L37" s="7">
        <f t="shared" si="3"/>
        <v>0.34601572160858152</v>
      </c>
      <c r="M37" s="7">
        <f t="shared" si="4"/>
        <v>0.3262518598950388</v>
      </c>
      <c r="N37" s="7">
        <f t="shared" si="5"/>
        <v>0.46287201253759919</v>
      </c>
    </row>
    <row r="38" spans="1:14" x14ac:dyDescent="0.45">
      <c r="A38">
        <v>2049</v>
      </c>
      <c r="B38" s="4">
        <f t="shared" si="0"/>
        <v>47495914</v>
      </c>
      <c r="C38" s="5">
        <v>12694816</v>
      </c>
      <c r="D38" s="5">
        <v>12636339</v>
      </c>
      <c r="E38" s="4">
        <f t="shared" si="1"/>
        <v>25331155</v>
      </c>
      <c r="F38" s="5">
        <v>22164759</v>
      </c>
      <c r="G38" s="5">
        <v>15002534</v>
      </c>
      <c r="H38" s="5">
        <v>7472140</v>
      </c>
      <c r="I38" s="5">
        <v>7162225</v>
      </c>
      <c r="J38" s="5">
        <v>7530394</v>
      </c>
      <c r="K38" s="7">
        <f t="shared" si="2"/>
        <v>0.32313570384410678</v>
      </c>
      <c r="L38" s="7">
        <f t="shared" si="3"/>
        <v>0.33974626117071699</v>
      </c>
      <c r="M38" s="7">
        <f t="shared" si="4"/>
        <v>0.33711803498517623</v>
      </c>
      <c r="N38" s="7">
        <f t="shared" si="5"/>
        <v>0.46666664841948297</v>
      </c>
    </row>
    <row r="39" spans="1:14" x14ac:dyDescent="0.45">
      <c r="A39">
        <v>2050</v>
      </c>
      <c r="B39" s="4">
        <f t="shared" si="0"/>
        <v>47106960</v>
      </c>
      <c r="C39" s="5">
        <v>12474457</v>
      </c>
      <c r="D39" s="5">
        <v>12455418</v>
      </c>
      <c r="E39" s="4">
        <f t="shared" si="1"/>
        <v>24929875</v>
      </c>
      <c r="F39" s="5">
        <v>22177085</v>
      </c>
      <c r="G39" s="5">
        <v>15165077</v>
      </c>
      <c r="H39" s="5">
        <v>7661086</v>
      </c>
      <c r="I39" s="5">
        <v>7012008</v>
      </c>
      <c r="J39" s="5">
        <v>7503991</v>
      </c>
      <c r="K39" s="7">
        <f t="shared" si="2"/>
        <v>0.31618258215631134</v>
      </c>
      <c r="L39" s="7">
        <f t="shared" si="3"/>
        <v>0.33836687734208531</v>
      </c>
      <c r="M39" s="7">
        <f t="shared" si="4"/>
        <v>0.34545054050160334</v>
      </c>
      <c r="N39" s="7">
        <f t="shared" si="5"/>
        <v>0.47078149385993068</v>
      </c>
    </row>
    <row r="40" spans="1:14" x14ac:dyDescent="0.45">
      <c r="A40">
        <v>2051</v>
      </c>
      <c r="B40" s="4">
        <f t="shared" si="0"/>
        <v>46697391</v>
      </c>
      <c r="C40" s="5">
        <v>12210761</v>
      </c>
      <c r="D40" s="5">
        <v>12300288</v>
      </c>
      <c r="E40" s="4">
        <f t="shared" si="1"/>
        <v>24511049</v>
      </c>
      <c r="F40" s="5">
        <v>22186342</v>
      </c>
      <c r="G40" s="5">
        <v>15317870</v>
      </c>
      <c r="H40" s="5">
        <v>7866016</v>
      </c>
      <c r="I40" s="5">
        <v>6868472</v>
      </c>
      <c r="J40" s="5">
        <v>7451854</v>
      </c>
      <c r="K40" s="7">
        <f t="shared" si="2"/>
        <v>0.30958109272812978</v>
      </c>
      <c r="L40" s="7">
        <f t="shared" si="3"/>
        <v>0.33587573832585832</v>
      </c>
      <c r="M40" s="7">
        <f t="shared" si="4"/>
        <v>0.3545431689460119</v>
      </c>
      <c r="N40" s="7">
        <f t="shared" si="5"/>
        <v>0.47510881282425393</v>
      </c>
    </row>
    <row r="41" spans="1:14" x14ac:dyDescent="0.45">
      <c r="A41">
        <v>2052</v>
      </c>
      <c r="B41" s="4">
        <f t="shared" si="0"/>
        <v>46267614</v>
      </c>
      <c r="C41" s="5">
        <v>11947357</v>
      </c>
      <c r="D41" s="5">
        <v>12078738</v>
      </c>
      <c r="E41" s="4">
        <f t="shared" si="1"/>
        <v>24026095</v>
      </c>
      <c r="F41" s="5">
        <v>22241519</v>
      </c>
      <c r="G41" s="5">
        <v>15460913</v>
      </c>
      <c r="H41" s="5">
        <v>8026726</v>
      </c>
      <c r="I41" s="5">
        <v>6780606</v>
      </c>
      <c r="J41" s="5">
        <v>7434187</v>
      </c>
      <c r="K41" s="7">
        <f t="shared" si="2"/>
        <v>0.30486254108813343</v>
      </c>
      <c r="L41" s="7">
        <f t="shared" si="3"/>
        <v>0.33424816893126769</v>
      </c>
      <c r="M41" s="7">
        <f t="shared" si="4"/>
        <v>0.36088928998059888</v>
      </c>
      <c r="N41" s="7">
        <f t="shared" si="5"/>
        <v>0.48071463118889163</v>
      </c>
    </row>
    <row r="42" spans="1:14" x14ac:dyDescent="0.45">
      <c r="A42">
        <v>2053</v>
      </c>
      <c r="B42" s="4">
        <f t="shared" si="0"/>
        <v>45818111</v>
      </c>
      <c r="C42" s="5">
        <v>11684567</v>
      </c>
      <c r="D42" s="5">
        <v>11840845</v>
      </c>
      <c r="E42" s="4">
        <f t="shared" si="1"/>
        <v>23525412</v>
      </c>
      <c r="F42" s="5">
        <v>22292699</v>
      </c>
      <c r="G42" s="5">
        <v>15539956</v>
      </c>
      <c r="H42" s="5">
        <v>8172480</v>
      </c>
      <c r="I42" s="5">
        <v>6752743</v>
      </c>
      <c r="J42" s="5">
        <v>7367476</v>
      </c>
      <c r="K42" s="7">
        <f t="shared" si="2"/>
        <v>0.30291276081016477</v>
      </c>
      <c r="L42" s="7">
        <f t="shared" si="3"/>
        <v>0.3304882912562539</v>
      </c>
      <c r="M42" s="7">
        <f t="shared" si="4"/>
        <v>0.36659894793358128</v>
      </c>
      <c r="N42" s="7">
        <f t="shared" si="5"/>
        <v>0.48654775400932615</v>
      </c>
    </row>
    <row r="43" spans="1:14" x14ac:dyDescent="0.45">
      <c r="A43">
        <v>2054</v>
      </c>
      <c r="B43" s="4">
        <f t="shared" si="0"/>
        <v>45350648</v>
      </c>
      <c r="C43" s="5">
        <v>11441282</v>
      </c>
      <c r="D43" s="5">
        <v>11587106</v>
      </c>
      <c r="E43" s="4">
        <f t="shared" si="1"/>
        <v>23028388</v>
      </c>
      <c r="F43" s="5">
        <v>22322260</v>
      </c>
      <c r="G43" s="5">
        <v>15542574</v>
      </c>
      <c r="H43" s="5">
        <v>8292820</v>
      </c>
      <c r="I43" s="5">
        <v>6779686</v>
      </c>
      <c r="J43" s="5">
        <v>7249754</v>
      </c>
      <c r="K43" s="7">
        <f t="shared" si="2"/>
        <v>0.30371861988884635</v>
      </c>
      <c r="L43" s="7">
        <f t="shared" si="3"/>
        <v>0.32477688191070259</v>
      </c>
      <c r="M43" s="7">
        <f t="shared" si="4"/>
        <v>0.37150449820045101</v>
      </c>
      <c r="N43" s="7">
        <f t="shared" si="5"/>
        <v>0.4922147970189974</v>
      </c>
    </row>
    <row r="44" spans="1:14" x14ac:dyDescent="0.45">
      <c r="A44">
        <v>2055</v>
      </c>
      <c r="B44" s="4">
        <f t="shared" si="0"/>
        <v>44867534</v>
      </c>
      <c r="C44" s="5">
        <v>11182931</v>
      </c>
      <c r="D44" s="5">
        <v>11348920</v>
      </c>
      <c r="E44" s="4">
        <f t="shared" si="1"/>
        <v>22531851</v>
      </c>
      <c r="F44" s="5">
        <v>22335683</v>
      </c>
      <c r="G44" s="5">
        <v>15486071</v>
      </c>
      <c r="H44" s="5">
        <v>8345100</v>
      </c>
      <c r="I44" s="5">
        <v>6849612</v>
      </c>
      <c r="J44" s="5">
        <v>7140971</v>
      </c>
      <c r="K44" s="7">
        <f t="shared" si="2"/>
        <v>0.30666678068452169</v>
      </c>
      <c r="L44" s="7">
        <f t="shared" si="3"/>
        <v>0.31971133365386678</v>
      </c>
      <c r="M44" s="7">
        <f t="shared" si="4"/>
        <v>0.37362188566161153</v>
      </c>
      <c r="N44" s="7">
        <f t="shared" si="5"/>
        <v>0.49781392041737799</v>
      </c>
    </row>
    <row r="45" spans="1:14" x14ac:dyDescent="0.45">
      <c r="A45">
        <v>2056</v>
      </c>
      <c r="B45" s="4">
        <f t="shared" si="0"/>
        <v>44371641</v>
      </c>
      <c r="C45" s="5">
        <v>10930085</v>
      </c>
      <c r="D45" s="5">
        <v>11096609</v>
      </c>
      <c r="E45" s="4">
        <f t="shared" si="1"/>
        <v>22026694</v>
      </c>
      <c r="F45" s="5">
        <v>22344947</v>
      </c>
      <c r="G45" s="5">
        <v>15425819</v>
      </c>
      <c r="H45" s="5">
        <v>8357303</v>
      </c>
      <c r="I45" s="5">
        <v>6919128</v>
      </c>
      <c r="J45" s="5">
        <v>7068516</v>
      </c>
      <c r="K45" s="7">
        <f t="shared" si="2"/>
        <v>0.309650678518056</v>
      </c>
      <c r="L45" s="7">
        <f t="shared" si="3"/>
        <v>0.31633621686370522</v>
      </c>
      <c r="M45" s="7">
        <f t="shared" si="4"/>
        <v>0.37401310461823872</v>
      </c>
      <c r="N45" s="7">
        <f t="shared" si="5"/>
        <v>0.5035862207575329</v>
      </c>
    </row>
    <row r="46" spans="1:14" x14ac:dyDescent="0.45">
      <c r="A46">
        <v>2057</v>
      </c>
      <c r="B46" s="4">
        <f t="shared" si="0"/>
        <v>43864958</v>
      </c>
      <c r="C46" s="5">
        <v>10714813</v>
      </c>
      <c r="D46" s="5">
        <v>10821034</v>
      </c>
      <c r="E46" s="4">
        <f t="shared" si="1"/>
        <v>21535847</v>
      </c>
      <c r="F46" s="5">
        <v>22329111</v>
      </c>
      <c r="G46" s="5">
        <v>15344111</v>
      </c>
      <c r="H46" s="5">
        <v>8350323</v>
      </c>
      <c r="I46" s="5">
        <v>6985000</v>
      </c>
      <c r="J46" s="5">
        <v>6993788</v>
      </c>
      <c r="K46" s="7">
        <f t="shared" si="2"/>
        <v>0.31282033574914825</v>
      </c>
      <c r="L46" s="7">
        <f t="shared" si="3"/>
        <v>0.31321390269411081</v>
      </c>
      <c r="M46" s="7">
        <f t="shared" si="4"/>
        <v>0.37396576155674088</v>
      </c>
      <c r="N46" s="7">
        <f t="shared" si="5"/>
        <v>0.50904211512068476</v>
      </c>
    </row>
    <row r="47" spans="1:14" x14ac:dyDescent="0.45">
      <c r="A47">
        <v>2058</v>
      </c>
      <c r="B47" s="4">
        <f t="shared" si="0"/>
        <v>43349217</v>
      </c>
      <c r="C47" s="5">
        <v>10532087</v>
      </c>
      <c r="D47" s="5">
        <v>10522108</v>
      </c>
      <c r="E47" s="4">
        <f t="shared" si="1"/>
        <v>21054195</v>
      </c>
      <c r="F47" s="5">
        <v>22295022</v>
      </c>
      <c r="G47" s="5">
        <v>15248467</v>
      </c>
      <c r="H47" s="5">
        <v>8349002</v>
      </c>
      <c r="I47" s="5">
        <v>7046555</v>
      </c>
      <c r="J47" s="5">
        <v>6899465</v>
      </c>
      <c r="K47" s="7">
        <f t="shared" si="2"/>
        <v>0.31605956701904131</v>
      </c>
      <c r="L47" s="7">
        <f t="shared" si="3"/>
        <v>0.30946213015622948</v>
      </c>
      <c r="M47" s="7">
        <f t="shared" si="4"/>
        <v>0.37447830282472921</v>
      </c>
      <c r="N47" s="7">
        <f t="shared" si="5"/>
        <v>0.51431198861100536</v>
      </c>
    </row>
    <row r="48" spans="1:14" x14ac:dyDescent="0.45">
      <c r="A48">
        <v>2059</v>
      </c>
      <c r="B48" s="4">
        <f t="shared" si="0"/>
        <v>42827316</v>
      </c>
      <c r="C48" s="5">
        <v>10373068</v>
      </c>
      <c r="D48" s="5">
        <v>10229019</v>
      </c>
      <c r="E48" s="4">
        <f t="shared" si="1"/>
        <v>20602087</v>
      </c>
      <c r="F48" s="5">
        <v>22225229</v>
      </c>
      <c r="G48" s="5">
        <v>15165880</v>
      </c>
      <c r="H48" s="5">
        <v>8355098</v>
      </c>
      <c r="I48" s="5">
        <v>7059349</v>
      </c>
      <c r="J48" s="5">
        <v>6810782</v>
      </c>
      <c r="K48" s="7">
        <f t="shared" si="2"/>
        <v>0.31762772838021153</v>
      </c>
      <c r="L48" s="7">
        <f t="shared" si="3"/>
        <v>0.3064437266315681</v>
      </c>
      <c r="M48" s="7">
        <f t="shared" si="4"/>
        <v>0.37592854498822037</v>
      </c>
      <c r="N48" s="7">
        <f t="shared" si="5"/>
        <v>0.51894984500079344</v>
      </c>
    </row>
    <row r="49" spans="1:14" x14ac:dyDescent="0.45">
      <c r="A49">
        <v>2060</v>
      </c>
      <c r="B49" s="4">
        <f t="shared" si="0"/>
        <v>42302086</v>
      </c>
      <c r="C49" s="5">
        <v>10238392</v>
      </c>
      <c r="D49" s="5">
        <v>9901089</v>
      </c>
      <c r="E49" s="4">
        <f t="shared" si="1"/>
        <v>20139481</v>
      </c>
      <c r="F49" s="5">
        <v>22162605</v>
      </c>
      <c r="G49" s="5">
        <v>15098494</v>
      </c>
      <c r="H49" s="5">
        <v>8422448</v>
      </c>
      <c r="I49" s="5">
        <v>7064111</v>
      </c>
      <c r="J49" s="5">
        <v>6676046</v>
      </c>
      <c r="K49" s="7">
        <f t="shared" si="2"/>
        <v>0.31874010297977157</v>
      </c>
      <c r="L49" s="7">
        <f t="shared" si="3"/>
        <v>0.30123020285747093</v>
      </c>
      <c r="M49" s="7">
        <f t="shared" si="4"/>
        <v>0.3800296941627575</v>
      </c>
      <c r="N49" s="7">
        <f t="shared" si="5"/>
        <v>0.52391281602519557</v>
      </c>
    </row>
    <row r="50" spans="1:14" x14ac:dyDescent="0.45">
      <c r="A50">
        <v>2061</v>
      </c>
      <c r="B50" s="4">
        <f t="shared" si="0"/>
        <v>41775305</v>
      </c>
      <c r="C50" s="5">
        <v>10122301</v>
      </c>
      <c r="D50" s="5">
        <v>9577639</v>
      </c>
      <c r="E50" s="4">
        <f t="shared" si="1"/>
        <v>19699940</v>
      </c>
      <c r="F50" s="5">
        <v>22075365</v>
      </c>
      <c r="G50" s="5">
        <v>15040368</v>
      </c>
      <c r="H50" s="5">
        <v>8491524</v>
      </c>
      <c r="I50" s="5">
        <v>7034997</v>
      </c>
      <c r="J50" s="5">
        <v>6548844</v>
      </c>
      <c r="K50" s="7">
        <f t="shared" si="2"/>
        <v>0.3186808915730272</v>
      </c>
      <c r="L50" s="7">
        <f t="shared" si="3"/>
        <v>0.29665846974670634</v>
      </c>
      <c r="M50" s="7">
        <f t="shared" si="4"/>
        <v>0.38466063868026645</v>
      </c>
      <c r="N50" s="7">
        <f t="shared" si="5"/>
        <v>0.52843097135975425</v>
      </c>
    </row>
    <row r="51" spans="1:14" x14ac:dyDescent="0.45">
      <c r="A51">
        <v>2062</v>
      </c>
      <c r="B51" s="4">
        <f t="shared" si="0"/>
        <v>41248542</v>
      </c>
      <c r="C51" s="5">
        <v>10020815</v>
      </c>
      <c r="D51" s="5">
        <v>9321979</v>
      </c>
      <c r="E51" s="4">
        <f t="shared" si="1"/>
        <v>19342794</v>
      </c>
      <c r="F51" s="5">
        <v>21905748</v>
      </c>
      <c r="G51" s="5">
        <v>15039480</v>
      </c>
      <c r="H51" s="5">
        <v>8562264</v>
      </c>
      <c r="I51" s="5">
        <v>6866268</v>
      </c>
      <c r="J51" s="5">
        <v>6477216</v>
      </c>
      <c r="K51" s="7">
        <f t="shared" si="2"/>
        <v>0.31344595035056555</v>
      </c>
      <c r="L51" s="7">
        <f t="shared" si="3"/>
        <v>0.29568568030637438</v>
      </c>
      <c r="M51" s="7">
        <f t="shared" si="4"/>
        <v>0.39086836934306007</v>
      </c>
      <c r="N51" s="7">
        <f t="shared" si="5"/>
        <v>0.53106720717546818</v>
      </c>
    </row>
    <row r="52" spans="1:14" x14ac:dyDescent="0.45">
      <c r="A52">
        <v>2063</v>
      </c>
      <c r="B52" s="4">
        <f t="shared" si="0"/>
        <v>40723791</v>
      </c>
      <c r="C52" s="5">
        <v>9934209</v>
      </c>
      <c r="D52" s="5">
        <v>9083212</v>
      </c>
      <c r="E52" s="4">
        <f t="shared" si="1"/>
        <v>19017421</v>
      </c>
      <c r="F52" s="5">
        <v>21706370</v>
      </c>
      <c r="G52" s="5">
        <v>15047639</v>
      </c>
      <c r="H52" s="5">
        <v>8585389</v>
      </c>
      <c r="I52" s="5">
        <v>6658731</v>
      </c>
      <c r="J52" s="5">
        <v>6462250</v>
      </c>
      <c r="K52" s="7">
        <f t="shared" si="2"/>
        <v>0.3067639130817359</v>
      </c>
      <c r="L52" s="7">
        <f t="shared" si="3"/>
        <v>0.29771214625015607</v>
      </c>
      <c r="M52" s="7">
        <f t="shared" si="4"/>
        <v>0.39552394066810803</v>
      </c>
      <c r="N52" s="7">
        <f t="shared" si="5"/>
        <v>0.53301447303862259</v>
      </c>
    </row>
    <row r="53" spans="1:14" x14ac:dyDescent="0.45">
      <c r="A53">
        <v>2064</v>
      </c>
      <c r="B53" s="4">
        <f t="shared" si="0"/>
        <v>40202384</v>
      </c>
      <c r="C53" s="5">
        <v>9863371</v>
      </c>
      <c r="D53" s="5">
        <v>8831929</v>
      </c>
      <c r="E53" s="4">
        <f t="shared" si="1"/>
        <v>18695300</v>
      </c>
      <c r="F53" s="5">
        <v>21507084</v>
      </c>
      <c r="G53" s="5">
        <v>15046878</v>
      </c>
      <c r="H53" s="5">
        <v>8549121</v>
      </c>
      <c r="I53" s="5">
        <v>6460206</v>
      </c>
      <c r="J53" s="5">
        <v>6497757</v>
      </c>
      <c r="K53" s="7">
        <f t="shared" si="2"/>
        <v>0.30037572736499285</v>
      </c>
      <c r="L53" s="7">
        <f t="shared" si="3"/>
        <v>0.302121710223478</v>
      </c>
      <c r="M53" s="7">
        <f t="shared" si="4"/>
        <v>0.39750256241152915</v>
      </c>
      <c r="N53" s="7">
        <f t="shared" si="5"/>
        <v>0.53497036394657593</v>
      </c>
    </row>
    <row r="54" spans="1:14" x14ac:dyDescent="0.45">
      <c r="A54">
        <v>2065</v>
      </c>
      <c r="B54" s="4">
        <f t="shared" si="0"/>
        <v>39685210</v>
      </c>
      <c r="C54" s="5">
        <v>9805156</v>
      </c>
      <c r="D54" s="5">
        <v>8606435</v>
      </c>
      <c r="E54" s="4">
        <f t="shared" si="1"/>
        <v>18411591</v>
      </c>
      <c r="F54" s="5">
        <v>21273619</v>
      </c>
      <c r="G54" s="5">
        <v>15041476</v>
      </c>
      <c r="H54" s="5">
        <v>8468876</v>
      </c>
      <c r="I54" s="5">
        <v>6232143</v>
      </c>
      <c r="J54" s="5">
        <v>6572600</v>
      </c>
      <c r="K54" s="7">
        <f t="shared" si="2"/>
        <v>0.29295170699447048</v>
      </c>
      <c r="L54" s="7">
        <f t="shared" si="3"/>
        <v>0.30895542502664919</v>
      </c>
      <c r="M54" s="7">
        <f t="shared" si="4"/>
        <v>0.39809286797888033</v>
      </c>
      <c r="N54" s="7">
        <f t="shared" si="5"/>
        <v>0.53605912630927244</v>
      </c>
    </row>
    <row r="55" spans="1:14" x14ac:dyDescent="0.45">
      <c r="A55">
        <v>2066</v>
      </c>
      <c r="B55" s="4">
        <f t="shared" si="0"/>
        <v>39172974</v>
      </c>
      <c r="C55" s="5">
        <v>9748255</v>
      </c>
      <c r="D55" s="5">
        <v>8393099</v>
      </c>
      <c r="E55" s="4">
        <f t="shared" si="1"/>
        <v>18141354</v>
      </c>
      <c r="F55" s="5">
        <v>21031620</v>
      </c>
      <c r="G55" s="5">
        <v>15041907</v>
      </c>
      <c r="H55" s="5">
        <v>8394914</v>
      </c>
      <c r="I55" s="5">
        <v>5989713</v>
      </c>
      <c r="J55" s="5">
        <v>6646993</v>
      </c>
      <c r="K55" s="7">
        <f t="shared" si="2"/>
        <v>0.28479560775632118</v>
      </c>
      <c r="L55" s="7">
        <f t="shared" si="3"/>
        <v>0.31604759880598832</v>
      </c>
      <c r="M55" s="7">
        <f t="shared" si="4"/>
        <v>0.3991567934376905</v>
      </c>
      <c r="N55" s="7">
        <f t="shared" si="5"/>
        <v>0.53689107189053353</v>
      </c>
    </row>
    <row r="56" spans="1:14" x14ac:dyDescent="0.45">
      <c r="A56">
        <v>2067</v>
      </c>
      <c r="B56" s="4">
        <f t="shared" si="0"/>
        <v>38666431</v>
      </c>
      <c r="C56" s="5">
        <v>9682021</v>
      </c>
      <c r="D56" s="5">
        <v>8171419</v>
      </c>
      <c r="E56" s="4">
        <f t="shared" si="1"/>
        <v>17853440</v>
      </c>
      <c r="F56" s="5">
        <v>20812991</v>
      </c>
      <c r="G56" s="5">
        <v>15027427</v>
      </c>
      <c r="H56" s="5">
        <v>8310959</v>
      </c>
      <c r="I56" s="5">
        <v>5785564</v>
      </c>
      <c r="J56" s="5">
        <v>6716468</v>
      </c>
      <c r="K56" s="7">
        <f t="shared" si="2"/>
        <v>0.27797849910183503</v>
      </c>
      <c r="L56" s="7">
        <f t="shared" si="3"/>
        <v>0.322705564039306</v>
      </c>
      <c r="M56" s="7">
        <f t="shared" si="4"/>
        <v>0.39931593685885897</v>
      </c>
      <c r="N56" s="7">
        <f t="shared" si="5"/>
        <v>0.53827028928529763</v>
      </c>
    </row>
    <row r="57" spans="1:14" x14ac:dyDescent="0.45">
      <c r="A57">
        <v>2068</v>
      </c>
      <c r="B57" s="4">
        <f t="shared" si="0"/>
        <v>38165892</v>
      </c>
      <c r="C57" s="5">
        <v>9606932</v>
      </c>
      <c r="D57" s="5">
        <v>7931484</v>
      </c>
      <c r="E57" s="4">
        <f t="shared" si="1"/>
        <v>17538416</v>
      </c>
      <c r="F57" s="5">
        <v>20627476</v>
      </c>
      <c r="G57" s="5">
        <v>15004654</v>
      </c>
      <c r="H57" s="5">
        <v>8223952</v>
      </c>
      <c r="I57" s="5">
        <v>5622822</v>
      </c>
      <c r="J57" s="5">
        <v>6780702</v>
      </c>
      <c r="K57" s="7">
        <f t="shared" si="2"/>
        <v>0.27258894883697843</v>
      </c>
      <c r="L57" s="7">
        <f t="shared" si="3"/>
        <v>0.32872184653129644</v>
      </c>
      <c r="M57" s="7">
        <f t="shared" si="4"/>
        <v>0.39868920463172519</v>
      </c>
      <c r="N57" s="7">
        <f t="shared" si="5"/>
        <v>0.54046885632857733</v>
      </c>
    </row>
    <row r="58" spans="1:14" x14ac:dyDescent="0.45">
      <c r="A58">
        <v>2069</v>
      </c>
      <c r="B58" s="4">
        <f t="shared" si="0"/>
        <v>37670942</v>
      </c>
      <c r="C58" s="5">
        <v>9523520</v>
      </c>
      <c r="D58" s="5">
        <v>7733351</v>
      </c>
      <c r="E58" s="4">
        <f t="shared" si="1"/>
        <v>17256871</v>
      </c>
      <c r="F58" s="5">
        <v>20414071</v>
      </c>
      <c r="G58" s="5">
        <v>14954615</v>
      </c>
      <c r="H58" s="5">
        <v>8157403</v>
      </c>
      <c r="I58" s="5">
        <v>5459456</v>
      </c>
      <c r="J58" s="5">
        <v>6797212</v>
      </c>
      <c r="K58" s="7">
        <f t="shared" si="2"/>
        <v>0.26743592691531248</v>
      </c>
      <c r="L58" s="7">
        <f t="shared" si="3"/>
        <v>0.33296700104550436</v>
      </c>
      <c r="M58" s="7">
        <f t="shared" si="4"/>
        <v>0.39959707203918315</v>
      </c>
      <c r="N58" s="7">
        <f t="shared" si="5"/>
        <v>0.54190497811283822</v>
      </c>
    </row>
    <row r="59" spans="1:14" x14ac:dyDescent="0.45">
      <c r="A59">
        <v>2070</v>
      </c>
      <c r="B59" s="4">
        <f t="shared" si="0"/>
        <v>37181774</v>
      </c>
      <c r="C59" s="5">
        <v>9432542</v>
      </c>
      <c r="D59" s="5">
        <v>7549815</v>
      </c>
      <c r="E59" s="4">
        <f t="shared" si="1"/>
        <v>16982357</v>
      </c>
      <c r="F59" s="5">
        <v>20199417</v>
      </c>
      <c r="G59" s="5">
        <v>14918470</v>
      </c>
      <c r="H59" s="5">
        <v>8112309</v>
      </c>
      <c r="I59" s="5">
        <v>5280947</v>
      </c>
      <c r="J59" s="5">
        <v>6806161</v>
      </c>
      <c r="K59" s="7">
        <f t="shared" si="2"/>
        <v>0.26144056533908877</v>
      </c>
      <c r="L59" s="7">
        <f t="shared" si="3"/>
        <v>0.33694838816387623</v>
      </c>
      <c r="M59" s="7">
        <f t="shared" si="4"/>
        <v>0.40161104649703505</v>
      </c>
      <c r="N59" s="7">
        <f t="shared" si="5"/>
        <v>0.54326124944979759</v>
      </c>
    </row>
    <row r="60" spans="1:14" x14ac:dyDescent="0.45">
      <c r="A60">
        <v>2071</v>
      </c>
      <c r="B60" s="4">
        <f t="shared" si="0"/>
        <v>36698961</v>
      </c>
      <c r="C60" s="5">
        <v>9334880</v>
      </c>
      <c r="D60" s="5">
        <v>7337353</v>
      </c>
      <c r="E60" s="4">
        <f t="shared" si="1"/>
        <v>16672233</v>
      </c>
      <c r="F60" s="5">
        <v>20026728</v>
      </c>
      <c r="G60" s="5">
        <v>14865111</v>
      </c>
      <c r="H60" s="5">
        <v>8083376</v>
      </c>
      <c r="I60" s="5">
        <v>5161617</v>
      </c>
      <c r="J60" s="5">
        <v>6781735</v>
      </c>
      <c r="K60" s="7">
        <f t="shared" si="2"/>
        <v>0.25773641106025907</v>
      </c>
      <c r="L60" s="7">
        <f t="shared" si="3"/>
        <v>0.33863419925611415</v>
      </c>
      <c r="M60" s="7">
        <f t="shared" si="4"/>
        <v>0.40362938968362683</v>
      </c>
      <c r="N60" s="7">
        <f t="shared" si="5"/>
        <v>0.54570286063411988</v>
      </c>
    </row>
    <row r="61" spans="1:14" x14ac:dyDescent="0.45">
      <c r="A61">
        <v>2072</v>
      </c>
      <c r="B61" s="4">
        <f t="shared" si="0"/>
        <v>36222293</v>
      </c>
      <c r="C61" s="5">
        <v>9231485</v>
      </c>
      <c r="D61" s="5">
        <v>7138133</v>
      </c>
      <c r="E61" s="4">
        <f t="shared" si="1"/>
        <v>16369618</v>
      </c>
      <c r="F61" s="5">
        <v>19852675</v>
      </c>
      <c r="G61" s="5">
        <v>14736864</v>
      </c>
      <c r="H61" s="5">
        <v>8114530</v>
      </c>
      <c r="I61" s="5">
        <v>5115811</v>
      </c>
      <c r="J61" s="5">
        <v>6622334</v>
      </c>
      <c r="K61" s="7">
        <f t="shared" si="2"/>
        <v>0.25768874975286704</v>
      </c>
      <c r="L61" s="7">
        <f t="shared" si="3"/>
        <v>0.33357388865732202</v>
      </c>
      <c r="M61" s="7">
        <f t="shared" si="4"/>
        <v>0.40873736158981094</v>
      </c>
      <c r="N61" s="7">
        <f t="shared" si="5"/>
        <v>0.54807891372310413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Main</cp:lastModifiedBy>
  <dcterms:created xsi:type="dcterms:W3CDTF">2025-03-21T12:54:29Z</dcterms:created>
  <dcterms:modified xsi:type="dcterms:W3CDTF">2026-06-21T08:48:15Z</dcterms:modified>
</cp:coreProperties>
</file>